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dy\OneDrive\PhD\VS Code\Prosthetic-Hands\Prosthetic-Hands\BOM\Macao\"/>
    </mc:Choice>
  </mc:AlternateContent>
  <xr:revisionPtr revIDLastSave="0" documentId="13_ncr:1_{1BEF30BE-C8C2-4760-96CF-7C1D5011F94A}" xr6:coauthVersionLast="47" xr6:coauthVersionMax="47" xr10:uidLastSave="{00000000-0000-0000-0000-000000000000}"/>
  <bookViews>
    <workbookView xWindow="-120" yWindow="-120" windowWidth="29040" windowHeight="15720" activeTab="2" xr2:uid="{043B56EA-62B9-4C47-8B29-ED9E1364A12F}"/>
  </bookViews>
  <sheets>
    <sheet name="Parts" sheetId="1" r:id="rId1"/>
    <sheet name="Tooling" sheetId="2" r:id="rId2"/>
    <sheet name="Report BoM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4" l="1"/>
  <c r="F18" i="4"/>
  <c r="F7" i="4"/>
  <c r="J11" i="4"/>
  <c r="F11" i="4"/>
  <c r="F9" i="4"/>
  <c r="F12" i="4"/>
  <c r="J5" i="4"/>
  <c r="J6" i="4"/>
  <c r="J7" i="4"/>
  <c r="J8" i="4"/>
  <c r="J9" i="4"/>
  <c r="J10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4" i="4"/>
  <c r="F8" i="4"/>
  <c r="F30" i="4"/>
  <c r="F29" i="4"/>
  <c r="F28" i="4"/>
  <c r="F27" i="4"/>
  <c r="F26" i="4"/>
  <c r="F25" i="4"/>
  <c r="F24" i="4"/>
  <c r="F23" i="4"/>
  <c r="F22" i="4"/>
  <c r="F21" i="4"/>
  <c r="F20" i="4"/>
  <c r="F19" i="4"/>
  <c r="F17" i="4"/>
  <c r="F15" i="4"/>
  <c r="F14" i="4"/>
  <c r="F13" i="4"/>
  <c r="F10" i="4"/>
  <c r="F5" i="4"/>
  <c r="F4" i="4"/>
  <c r="B6" i="1"/>
  <c r="E32" i="1" s="1" a="1"/>
  <c r="E32" i="1" s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4" i="1"/>
  <c r="F6" i="4" l="1"/>
  <c r="E31" i="4" s="1"/>
  <c r="E32" i="4" a="1"/>
  <c r="E32" i="4" s="1"/>
  <c r="E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<sst xmlns="http://schemas.openxmlformats.org/spreadsheetml/2006/main" count="82" uniqueCount="58">
  <si>
    <t>Part</t>
  </si>
  <si>
    <t>Unit Price</t>
  </si>
  <si>
    <t>Link</t>
  </si>
  <si>
    <t>Quantity Ordered</t>
  </si>
  <si>
    <t>Quantity Received</t>
  </si>
  <si>
    <t>Quantity Used</t>
  </si>
  <si>
    <t>BoM Control and Price Tracking</t>
  </si>
  <si>
    <t>Supplier</t>
  </si>
  <si>
    <t>Price Per Prosthesis</t>
  </si>
  <si>
    <t>Quantity Per Prosthesis</t>
  </si>
  <si>
    <t>Prosthesis Parts Value</t>
  </si>
  <si>
    <t>Total Project Value</t>
  </si>
  <si>
    <t>PLA Filament</t>
  </si>
  <si>
    <t>Fishing Line</t>
  </si>
  <si>
    <t>https://www.amazon.co.uk/emma-kites-62Meters-Activities-Tactical/dp/B08PBXD5CH/ref=sr_1_5_sspa?dib=eyJ2IjoiMSJ9.0-yXPrRVx6VvZD1y_yhfI6KjH4eIc1OdBF6EEXLAH9h0wXzdwHEIakmBiFKCzjOdeaYn32P9y1uMh_W0O9xvLglJ2EXk6uFTaoJ5Zhf0KMIEFBSppVMRoprrJogBNcQwWUjl-lhBiwT3PHjTSlltl-Mh7yFeqDEZNXvmr5mRNFC8q0Se9HcflkI5FSalPoepyqVZ-9URrzDM3UIdwRNn1SWKQxI3uuWbx4KxcSWxq_17H9ZM1Jd_c4ucDd9HuDaTQjlbHx9jS4PlUXmrP2OHy8I5bHVK1Tkr2OqpEx5jlWs.hjlXtDfyhx78JWmWd6amgpU2a7WxvKp6-kz3Kh7gQzU&amp;dib_tag=se&amp;keywords=kevlar%2Bcord&amp;qid=1754900594&amp;sr=8-5-spons&amp;sp_csd=d2lkZ2V0TmFtZT1zcF9hdGY&amp;th=1&amp;psc=1</t>
  </si>
  <si>
    <t>Notes</t>
  </si>
  <si>
    <t>50lb x 100ft</t>
  </si>
  <si>
    <t>Tool</t>
  </si>
  <si>
    <t>Tooling Control and Price Tracking</t>
  </si>
  <si>
    <t xml:space="preserve">Orthodontic Bands </t>
  </si>
  <si>
    <t>https://www.ebay.co.uk/itm/276185566951</t>
  </si>
  <si>
    <t>4.5oz x 1/8" (£1.19 for 100)</t>
  </si>
  <si>
    <t>https://www.amazon.co.uk/dp/B0DZXLY1ZX?ref=ppx_yo2ov_dt_b_fed_asin_title&amp;th=1</t>
  </si>
  <si>
    <t>M3 Bolt pack</t>
  </si>
  <si>
    <t>(1600 pcs)</t>
  </si>
  <si>
    <t>Kevlar Cord</t>
  </si>
  <si>
    <t>Stock</t>
  </si>
  <si>
    <t>Amazon</t>
  </si>
  <si>
    <t>Bambu</t>
  </si>
  <si>
    <t>PLA Black</t>
  </si>
  <si>
    <t>Arduino R4 Wifi</t>
  </si>
  <si>
    <t>DFRobot Quad Motor Shield (DRI0039)</t>
  </si>
  <si>
    <t>https://www.digikey.co.uk/en/products/detail/dfrobot/DRI0039/6588612</t>
  </si>
  <si>
    <t>https://thepihut.com/products/arduino-uno-r4-wifi</t>
  </si>
  <si>
    <t>Dupont Wires Male to Male</t>
  </si>
  <si>
    <t>https://www.amazon.co.uk/Elegoo-120pcs-Multicolored-Breadboard-arduino-colorful/dp/B01EV70C78/ref=sr_1_6?sr=8-6</t>
  </si>
  <si>
    <t>Actuonix PQ12-P</t>
  </si>
  <si>
    <t>https://uk.store.bambulab.com/products/pla-basic-filament</t>
  </si>
  <si>
    <t>https://uk.robotshop.com/products/actuonix-pq12-p-linear-actuator-20mm-1001-6v-potentiometer?gad_campaignid=20151189783</t>
  </si>
  <si>
    <t>11.1V Lithium Li-Ion 2600mAH Battery</t>
  </si>
  <si>
    <t>https://www.amazon.co.uk/Replacement-Rechargeable-Airplane-Doorbell-Handheld-No-Charger-Cable/dp/B0DCW2WFCP?source=ps-sl-shoppingads-lpcontext&amp;ref_=fplfs&amp;psc=1&amp;smid=A1YIWQTRS4ZTD4</t>
  </si>
  <si>
    <t>Robotshop</t>
  </si>
  <si>
    <t>Digikey</t>
  </si>
  <si>
    <t>the PiHut</t>
  </si>
  <si>
    <t>M3x8mm Full Thread Socket</t>
  </si>
  <si>
    <t>M3x12mm Full Thread Socket</t>
  </si>
  <si>
    <t>M3x12mm Dowel Pin</t>
  </si>
  <si>
    <t>M3 Threaded heat insert</t>
  </si>
  <si>
    <t>https://www.accu.co.uk/dowel-pins/72639-HDP-3-12-A1</t>
  </si>
  <si>
    <t>https://www.accu.co.uk/metric-cap-head-screws/3976-SSCF-M3-12-A4</t>
  </si>
  <si>
    <t>https://www.accu.co.uk/metric-cap-head-screws/3974-SSCF-M3-8-A4</t>
  </si>
  <si>
    <t>https://www.accu.co.uk/brass-threaded-inserts/845137-HTBI-M3-BR</t>
  </si>
  <si>
    <t>RS PRO Miniature Push Button</t>
  </si>
  <si>
    <t>https://uk.rs-online.com/web/p/push-button-switches/7346710</t>
  </si>
  <si>
    <t>Accu</t>
  </si>
  <si>
    <t>RS Online</t>
  </si>
  <si>
    <t>~40 per hand</t>
  </si>
  <si>
    <t>BOM Control and Price Tracking - 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</si>
</sst>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44" fontId="0" fillId="0" borderId="0" xfId="0" applyNumberFormat="1"/>
    <xf numFmtId="0" fontId="0" fillId="0" borderId="0" xfId="0" applyAlignment="1">
      <alignment horizontal="left" vertical="center"/>
    </xf>
    <xf numFmtId="2" fontId="0" fillId="0" borderId="0" xfId="0" applyNumberFormat="1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44" fontId="0" fillId="4" borderId="0" xfId="0" applyNumberFormat="1" applyFill="1"/>
    <xf numFmtId="2" fontId="0" fillId="4" borderId="0" xfId="0" applyNumberFormat="1" applyFill="1"/>
    <xf numFmtId="0" fontId="2" fillId="4" borderId="0" xfId="1" applyFill="1"/>
    <xf numFmtId="0" fontId="0" fillId="5" borderId="0" xfId="0" applyFill="1" applyAlignment="1">
      <alignment horizontal="left" vertical="center"/>
    </xf>
    <xf numFmtId="44" fontId="0" fillId="5" borderId="0" xfId="0" applyNumberFormat="1" applyFill="1"/>
    <xf numFmtId="0" fontId="0" fillId="5" borderId="0" xfId="0" applyFill="1"/>
    <xf numFmtId="2" fontId="0" fillId="5" borderId="0" xfId="0" applyNumberFormat="1" applyFill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.uk/dp/B0DZXLY1ZX?ref=ppx_yo2ov_dt_b_fed_asin_title&amp;th=1" TargetMode="External"/><Relationship Id="rId2" Type="http://schemas.openxmlformats.org/officeDocument/2006/relationships/hyperlink" Target="https://www.ebay.co.uk/itm/276185566951" TargetMode="External"/><Relationship Id="rId1" Type="http://schemas.openxmlformats.org/officeDocument/2006/relationships/hyperlink" Target="https://www.amazon.co.uk/emma-kites-62Meters-Activities-Tactical/dp/B08PBXD5CH/ref=sr_1_5_sspa?dib=eyJ2IjoiMSJ9.0-yXPrRVx6VvZD1y_yhfI6KjH4eIc1OdBF6EEXLAH9h0wXzdwHEIakmBiFKCzjOdeaYn32P9y1uMh_W0O9xvLglJ2EXk6uFTaoJ5Zhf0KMIEFBSppVMRoprrJogBNcQwWUjl-lhBiwT3PHjTSlltl-Mh7yFeqDEZNXvmr5mRNFC8q0Se9HcflkI5FSalPoepyqVZ-9URrzDM3UIdwRNn1SWKQxI3uuWbx4KxcSWxq_17H9ZM1Jd_c4ucDd9HuDaTQjlbHx9jS4PlUXmrP2OHy8I5bHVK1Tkr2OqpEx5jlWs.hjlXtDfyhx78JWmWd6amgpU2a7WxvKp6-kz3Kh7gQzU&amp;dib_tag=se&amp;keywords=kevlar%2Bcord&amp;qid=1754900594&amp;sr=8-5-spons&amp;sp_csd=d2lkZ2V0TmFtZT1zcF9hdGY&amp;th=1&amp;psc=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ccu.co.uk/dowel-pins/72639-HDP-3-12-A1" TargetMode="External"/><Relationship Id="rId2" Type="http://schemas.openxmlformats.org/officeDocument/2006/relationships/hyperlink" Target="https://www.accu.co.uk/metric-cap-head-screws/3976-SSCF-M3-12-A4" TargetMode="External"/><Relationship Id="rId1" Type="http://schemas.openxmlformats.org/officeDocument/2006/relationships/hyperlink" Target="https://www.amazon.co.uk/emma-kites-62Meters-Activities-Tactical/dp/B08PBXD5CH/ref=sr_1_5_sspa?dib=eyJ2IjoiMSJ9.0-yXPrRVx6VvZD1y_yhfI6KjH4eIc1OdBF6EEXLAH9h0wXzdwHEIakmBiFKCzjOdeaYn32P9y1uMh_W0O9xvLglJ2EXk6uFTaoJ5Zhf0KMIEFBSppVMRoprrJogBNcQwWUjl-lhBiwT3PHjTSlltl-Mh7yFeqDEZNXvmr5mRNFC8q0Se9HcflkI5FSalPoepyqVZ-9URrzDM3UIdwRNn1SWKQxI3uuWbx4KxcSWxq_17H9ZM1Jd_c4ucDd9HuDaTQjlbHx9jS4PlUXmrP2OHy8I5bHVK1Tkr2OqpEx5jlWs.hjlXtDfyhx78JWmWd6amgpU2a7WxvKp6-kz3Kh7gQzU&amp;dib_tag=se&amp;keywords=kevlar%2Bcord&amp;qid=1754900594&amp;sr=8-5-spons&amp;sp_csd=d2lkZ2V0TmFtZT1zcF9hdGY&amp;th=1&amp;psc=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uk.rs-online.com/web/p/push-button-switches/7346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7EF-ECCC-4BA6-BD5E-6F2B1E1F050C}">
  <dimension ref="A1:J32"/>
  <sheetViews>
    <sheetView workbookViewId="0">
      <selection activeCell="D24" sqref="D24"/>
    </sheetView>
  </sheetViews>
  <sheetFormatPr defaultRowHeight="15" x14ac:dyDescent="0.25"/>
  <cols>
    <col min="1" max="1" width="18.28515625" bestFit="1" customWidth="1"/>
    <col min="2" max="2" width="9.42578125" style="1" bestFit="1" customWidth="1"/>
    <col min="3" max="3" width="8.28515625" bestFit="1" customWidth="1"/>
    <col min="4" max="4" width="23.85546875" bestFit="1" customWidth="1"/>
    <col min="5" max="5" width="21.85546875" style="1" bestFit="1" customWidth="1"/>
    <col min="6" max="6" width="18.7109375" bestFit="1" customWidth="1"/>
    <col min="7" max="7" width="16.140625" bestFit="1" customWidth="1"/>
    <col min="8" max="8" width="16.7109375" bestFit="1" customWidth="1"/>
    <col min="9" max="9" width="13.42578125" bestFit="1" customWidth="1"/>
    <col min="10" max="10" width="255.7109375" bestFit="1" customWidth="1"/>
  </cols>
  <sheetData>
    <row r="1" spans="1:10" ht="31.5" x14ac:dyDescent="0.25">
      <c r="A1" s="15" t="s">
        <v>6</v>
      </c>
      <c r="B1" s="15"/>
      <c r="C1" s="15"/>
      <c r="D1" s="15"/>
      <c r="E1" s="15"/>
      <c r="F1" s="15"/>
      <c r="G1" s="15"/>
      <c r="H1" s="15"/>
    </row>
    <row r="2" spans="1:10" x14ac:dyDescent="0.25">
      <c r="B2"/>
      <c r="E2"/>
    </row>
    <row r="3" spans="1:10" x14ac:dyDescent="0.25">
      <c r="A3" t="s">
        <v>0</v>
      </c>
      <c r="B3" t="s">
        <v>1</v>
      </c>
      <c r="C3" t="s">
        <v>7</v>
      </c>
      <c r="D3" t="s">
        <v>15</v>
      </c>
      <c r="E3" t="s">
        <v>9</v>
      </c>
      <c r="F3" t="s">
        <v>8</v>
      </c>
      <c r="G3" t="s">
        <v>3</v>
      </c>
      <c r="H3" t="s">
        <v>4</v>
      </c>
      <c r="I3" t="s">
        <v>5</v>
      </c>
      <c r="J3" t="s">
        <v>2</v>
      </c>
    </row>
    <row r="4" spans="1:10" x14ac:dyDescent="0.25">
      <c r="A4" t="s">
        <v>12</v>
      </c>
      <c r="E4" s="3"/>
      <c r="F4" s="1">
        <f>B4*E4</f>
        <v>0</v>
      </c>
      <c r="G4" s="3"/>
      <c r="H4" s="3"/>
      <c r="I4" s="3"/>
    </row>
    <row r="5" spans="1:10" x14ac:dyDescent="0.25">
      <c r="A5" t="s">
        <v>13</v>
      </c>
      <c r="B5" s="1">
        <v>8.9499999999999993</v>
      </c>
      <c r="D5" t="s">
        <v>16</v>
      </c>
      <c r="E5" s="3"/>
      <c r="F5" s="1">
        <f t="shared" ref="F5:F30" si="0">B5*E5</f>
        <v>0</v>
      </c>
      <c r="G5" s="3">
        <v>1</v>
      </c>
      <c r="H5" s="3">
        <v>1</v>
      </c>
      <c r="I5" s="3"/>
      <c r="J5" s="4" t="s">
        <v>14</v>
      </c>
    </row>
    <row r="6" spans="1:10" x14ac:dyDescent="0.25">
      <c r="A6" t="s">
        <v>19</v>
      </c>
      <c r="B6" s="1">
        <f>1.19/100</f>
        <v>1.1899999999999999E-2</v>
      </c>
      <c r="D6" t="s">
        <v>21</v>
      </c>
      <c r="E6" s="3"/>
      <c r="F6" s="1">
        <f t="shared" si="0"/>
        <v>0</v>
      </c>
      <c r="G6" s="3">
        <v>100</v>
      </c>
      <c r="H6" s="3">
        <v>100</v>
      </c>
      <c r="I6" s="3">
        <v>6</v>
      </c>
      <c r="J6" s="4" t="s">
        <v>20</v>
      </c>
    </row>
    <row r="7" spans="1:10" x14ac:dyDescent="0.25">
      <c r="A7" t="s">
        <v>23</v>
      </c>
      <c r="B7" s="1">
        <v>11.99</v>
      </c>
      <c r="D7" t="s">
        <v>24</v>
      </c>
      <c r="E7" s="3"/>
      <c r="F7" s="1">
        <f t="shared" si="0"/>
        <v>0</v>
      </c>
      <c r="G7" s="3">
        <v>1</v>
      </c>
      <c r="H7" s="3">
        <v>1</v>
      </c>
      <c r="I7" s="3"/>
      <c r="J7" s="4" t="s">
        <v>22</v>
      </c>
    </row>
    <row r="8" spans="1:10" x14ac:dyDescent="0.25">
      <c r="E8" s="3"/>
      <c r="F8" s="1">
        <f t="shared" si="0"/>
        <v>0</v>
      </c>
      <c r="G8" s="3"/>
      <c r="H8" s="3"/>
      <c r="I8" s="3"/>
    </row>
    <row r="9" spans="1:10" x14ac:dyDescent="0.25">
      <c r="E9" s="3"/>
      <c r="F9" s="1">
        <f t="shared" si="0"/>
        <v>0</v>
      </c>
      <c r="G9" s="3"/>
      <c r="H9" s="3"/>
      <c r="I9" s="3"/>
    </row>
    <row r="10" spans="1:10" x14ac:dyDescent="0.25">
      <c r="E10" s="3"/>
      <c r="F10" s="1">
        <f t="shared" si="0"/>
        <v>0</v>
      </c>
      <c r="G10" s="3"/>
      <c r="H10" s="3"/>
      <c r="I10" s="3"/>
    </row>
    <row r="11" spans="1:10" x14ac:dyDescent="0.25">
      <c r="E11" s="3"/>
      <c r="F11" s="1">
        <f t="shared" si="0"/>
        <v>0</v>
      </c>
      <c r="G11" s="3"/>
      <c r="H11" s="3"/>
      <c r="I11" s="3"/>
    </row>
    <row r="12" spans="1:10" x14ac:dyDescent="0.25">
      <c r="E12" s="3"/>
      <c r="F12" s="1">
        <f t="shared" si="0"/>
        <v>0</v>
      </c>
      <c r="G12" s="3"/>
      <c r="H12" s="3"/>
      <c r="I12" s="3"/>
    </row>
    <row r="13" spans="1:10" x14ac:dyDescent="0.25">
      <c r="E13" s="3"/>
      <c r="F13" s="1">
        <f t="shared" si="0"/>
        <v>0</v>
      </c>
      <c r="G13" s="3"/>
      <c r="H13" s="3"/>
      <c r="I13" s="3"/>
    </row>
    <row r="14" spans="1:10" x14ac:dyDescent="0.25">
      <c r="E14" s="3"/>
      <c r="F14" s="1">
        <f t="shared" si="0"/>
        <v>0</v>
      </c>
      <c r="G14" s="3"/>
      <c r="H14" s="3"/>
      <c r="I14" s="3"/>
    </row>
    <row r="15" spans="1:10" x14ac:dyDescent="0.25">
      <c r="E15" s="3"/>
      <c r="F15" s="1">
        <f t="shared" si="0"/>
        <v>0</v>
      </c>
      <c r="G15" s="3"/>
      <c r="H15" s="3"/>
      <c r="I15" s="3"/>
    </row>
    <row r="16" spans="1:10" x14ac:dyDescent="0.25">
      <c r="E16" s="3"/>
      <c r="F16" s="1">
        <f t="shared" si="0"/>
        <v>0</v>
      </c>
      <c r="G16" s="3"/>
      <c r="H16" s="3"/>
      <c r="I16" s="3"/>
    </row>
    <row r="17" spans="1:9" x14ac:dyDescent="0.25">
      <c r="E17" s="3"/>
      <c r="F17" s="1">
        <f t="shared" si="0"/>
        <v>0</v>
      </c>
      <c r="G17" s="3"/>
      <c r="H17" s="3"/>
      <c r="I17" s="3"/>
    </row>
    <row r="18" spans="1:9" x14ac:dyDescent="0.25">
      <c r="E18" s="3"/>
      <c r="F18" s="1">
        <f t="shared" si="0"/>
        <v>0</v>
      </c>
      <c r="G18" s="3"/>
      <c r="H18" s="3"/>
      <c r="I18" s="3"/>
    </row>
    <row r="19" spans="1:9" x14ac:dyDescent="0.25">
      <c r="E19" s="3"/>
      <c r="F19" s="1">
        <f t="shared" si="0"/>
        <v>0</v>
      </c>
      <c r="G19" s="3"/>
      <c r="H19" s="3"/>
      <c r="I19" s="3"/>
    </row>
    <row r="20" spans="1:9" x14ac:dyDescent="0.25">
      <c r="E20" s="3"/>
      <c r="F20" s="1">
        <f t="shared" si="0"/>
        <v>0</v>
      </c>
      <c r="G20" s="3"/>
      <c r="H20" s="3"/>
      <c r="I20" s="3"/>
    </row>
    <row r="21" spans="1:9" x14ac:dyDescent="0.25">
      <c r="E21" s="3"/>
      <c r="F21" s="1">
        <f t="shared" si="0"/>
        <v>0</v>
      </c>
      <c r="G21" s="3"/>
      <c r="H21" s="3"/>
      <c r="I21" s="3"/>
    </row>
    <row r="22" spans="1:9" x14ac:dyDescent="0.25">
      <c r="E22" s="3"/>
      <c r="F22" s="1">
        <f t="shared" si="0"/>
        <v>0</v>
      </c>
      <c r="G22" s="3"/>
      <c r="H22" s="3"/>
      <c r="I22" s="3"/>
    </row>
    <row r="23" spans="1:9" x14ac:dyDescent="0.25">
      <c r="E23" s="3"/>
      <c r="F23" s="1">
        <f t="shared" si="0"/>
        <v>0</v>
      </c>
      <c r="G23" s="3"/>
      <c r="H23" s="3"/>
      <c r="I23" s="3"/>
    </row>
    <row r="24" spans="1:9" x14ac:dyDescent="0.25">
      <c r="E24" s="3"/>
      <c r="F24" s="1">
        <f t="shared" si="0"/>
        <v>0</v>
      </c>
      <c r="G24" s="3"/>
      <c r="H24" s="3"/>
      <c r="I24" s="3"/>
    </row>
    <row r="25" spans="1:9" x14ac:dyDescent="0.25">
      <c r="E25" s="3"/>
      <c r="F25" s="1">
        <f t="shared" si="0"/>
        <v>0</v>
      </c>
      <c r="G25" s="3"/>
      <c r="H25" s="3"/>
      <c r="I25" s="3"/>
    </row>
    <row r="26" spans="1:9" x14ac:dyDescent="0.25">
      <c r="E26" s="3"/>
      <c r="F26" s="1">
        <f t="shared" si="0"/>
        <v>0</v>
      </c>
      <c r="G26" s="3"/>
      <c r="H26" s="3"/>
      <c r="I26" s="3"/>
    </row>
    <row r="27" spans="1:9" x14ac:dyDescent="0.25">
      <c r="E27" s="3"/>
      <c r="F27" s="1">
        <f t="shared" si="0"/>
        <v>0</v>
      </c>
      <c r="G27" s="3"/>
      <c r="H27" s="3"/>
      <c r="I27" s="3"/>
    </row>
    <row r="28" spans="1:9" x14ac:dyDescent="0.25">
      <c r="E28" s="3"/>
      <c r="F28" s="1">
        <f t="shared" si="0"/>
        <v>0</v>
      </c>
      <c r="G28" s="3"/>
      <c r="H28" s="3"/>
      <c r="I28" s="3"/>
    </row>
    <row r="29" spans="1:9" x14ac:dyDescent="0.25">
      <c r="E29" s="3"/>
      <c r="F29" s="1">
        <f t="shared" si="0"/>
        <v>0</v>
      </c>
      <c r="G29" s="3"/>
      <c r="H29" s="3"/>
      <c r="I29" s="3"/>
    </row>
    <row r="30" spans="1:9" x14ac:dyDescent="0.25">
      <c r="E30" s="3"/>
      <c r="F30" s="1">
        <f t="shared" si="0"/>
        <v>0</v>
      </c>
      <c r="G30" s="3"/>
      <c r="H30" s="3"/>
      <c r="I30" s="3"/>
    </row>
    <row r="31" spans="1:9" x14ac:dyDescent="0.25">
      <c r="A31" s="16" t="s">
        <v>10</v>
      </c>
      <c r="B31" s="16"/>
      <c r="C31" s="16"/>
      <c r="D31" s="2"/>
      <c r="E31" s="1">
        <f>SUM($F$4:$F30)</f>
        <v>0</v>
      </c>
    </row>
    <row r="32" spans="1:9" x14ac:dyDescent="0.25">
      <c r="A32" s="16" t="s">
        <v>11</v>
      </c>
      <c r="B32" s="16"/>
      <c r="C32" s="16"/>
      <c r="D32" s="2"/>
      <c r="E32" s="1" cm="1">
        <f t="array" ref="E32">SUM($B$4:$B30*$G$4:$G30)</f>
        <v>22.13</v>
      </c>
    </row>
  </sheetData>
  <mergeCells count="3">
    <mergeCell ref="A1:H1"/>
    <mergeCell ref="A31:C31"/>
    <mergeCell ref="A32:C32"/>
  </mergeCells>
  <hyperlinks>
    <hyperlink ref="J5" r:id="rId1" display="https://www.amazon.co.uk/emma-kites-62Meters-Activities-Tactical/dp/B08PBXD5CH/ref=sr_1_5_sspa?dib=eyJ2IjoiMSJ9.0-yXPrRVx6VvZD1y_yhfI6KjH4eIc1OdBF6EEXLAH9h0wXzdwHEIakmBiFKCzjOdeaYn32P9y1uMh_W0O9xvLglJ2EXk6uFTaoJ5Zhf0KMIEFBSppVMRoprrJogBNcQwWUjl-lhBiwT3PHjTSlltl-Mh7yFeqDEZNXvmr5mRNFC8q0Se9HcflkI5FSalPoepyqVZ-9URrzDM3UIdwRNn1SWKQxI3uuWbx4KxcSWxq_17H9ZM1Jd_c4ucDd9HuDaTQjlbHx9jS4PlUXmrP2OHy8I5bHVK1Tkr2OqpEx5jlWs.hjlXtDfyhx78JWmWd6amgpU2a7WxvKp6-kz3Kh7gQzU&amp;dib_tag=se&amp;keywords=kevlar%2Bcord&amp;qid=1754900594&amp;sr=8-5-spons&amp;sp_csd=d2lkZ2V0TmFtZT1zcF9hdGY&amp;th=1&amp;psc=1" xr:uid="{F8F9D08C-01D6-4DDC-B12D-67B0C51A48A8}"/>
    <hyperlink ref="J6" r:id="rId2" xr:uid="{69B00212-842C-4C4F-9B91-73775A38D7C2}"/>
    <hyperlink ref="J7" r:id="rId3" xr:uid="{9DD3D782-AC02-4513-BD20-6B83068546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CD7D-0016-4F3E-883C-28430C074D75}">
  <dimension ref="A1:H2"/>
  <sheetViews>
    <sheetView workbookViewId="0">
      <selection activeCell="D7" sqref="D7"/>
    </sheetView>
  </sheetViews>
  <sheetFormatPr defaultRowHeight="15" x14ac:dyDescent="0.25"/>
  <sheetData>
    <row r="1" spans="1:8" ht="31.5" x14ac:dyDescent="0.25">
      <c r="A1" s="15" t="s">
        <v>18</v>
      </c>
      <c r="B1" s="15"/>
      <c r="C1" s="15"/>
      <c r="D1" s="15"/>
      <c r="E1" s="15"/>
      <c r="F1" s="15"/>
      <c r="G1" s="15"/>
      <c r="H1" s="15"/>
    </row>
    <row r="2" spans="1:8" x14ac:dyDescent="0.25">
      <c r="A2" t="s">
        <v>17</v>
      </c>
      <c r="B2" t="s">
        <v>1</v>
      </c>
      <c r="C2" t="s">
        <v>7</v>
      </c>
      <c r="D2" t="s">
        <v>15</v>
      </c>
      <c r="E2" t="s">
        <v>2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18672-FEA0-4571-8FFD-0E17E44A587C}">
  <dimension ref="A1:K32"/>
  <sheetViews>
    <sheetView tabSelected="1" zoomScale="115" zoomScaleNormal="115" workbookViewId="0">
      <selection sqref="A1:H1"/>
    </sheetView>
  </sheetViews>
  <sheetFormatPr defaultRowHeight="15" x14ac:dyDescent="0.25"/>
  <cols>
    <col min="1" max="1" width="41.7109375" bestFit="1" customWidth="1"/>
    <col min="2" max="2" width="9.42578125" style="1" bestFit="1" customWidth="1"/>
    <col min="3" max="3" width="18" bestFit="1" customWidth="1"/>
    <col min="4" max="4" width="23.85546875" bestFit="1" customWidth="1"/>
    <col min="5" max="5" width="21.85546875" style="1" bestFit="1" customWidth="1"/>
    <col min="6" max="6" width="18.7109375" bestFit="1" customWidth="1"/>
    <col min="7" max="7" width="16.140625" bestFit="1" customWidth="1"/>
    <col min="8" max="8" width="16.7109375" bestFit="1" customWidth="1"/>
    <col min="9" max="9" width="13.42578125" bestFit="1" customWidth="1"/>
    <col min="10" max="10" width="7.5703125" bestFit="1" customWidth="1"/>
    <col min="11" max="11" width="255.7109375" bestFit="1" customWidth="1"/>
  </cols>
  <sheetData>
    <row r="1" spans="1:11" ht="31.5" x14ac:dyDescent="0.25">
      <c r="A1" s="17" t="s">
        <v>57</v>
      </c>
      <c r="B1" s="17"/>
      <c r="C1" s="17"/>
      <c r="D1" s="17"/>
      <c r="E1" s="17"/>
      <c r="F1" s="17"/>
      <c r="G1" s="17"/>
      <c r="H1" s="17"/>
      <c r="I1" s="6"/>
      <c r="J1" s="6"/>
      <c r="K1" s="6"/>
    </row>
    <row r="2" spans="1:11" x14ac:dyDescent="0.25">
      <c r="B2"/>
      <c r="E2"/>
    </row>
    <row r="3" spans="1:11" x14ac:dyDescent="0.25">
      <c r="A3" s="5" t="s">
        <v>0</v>
      </c>
      <c r="B3" s="5" t="s">
        <v>1</v>
      </c>
      <c r="C3" s="5" t="s">
        <v>7</v>
      </c>
      <c r="D3" s="5" t="s">
        <v>15</v>
      </c>
      <c r="E3" s="5" t="s">
        <v>9</v>
      </c>
      <c r="F3" s="5" t="s">
        <v>8</v>
      </c>
      <c r="G3" s="5" t="s">
        <v>3</v>
      </c>
      <c r="H3" s="5" t="s">
        <v>4</v>
      </c>
      <c r="I3" s="5" t="s">
        <v>5</v>
      </c>
      <c r="J3" s="5" t="s">
        <v>26</v>
      </c>
      <c r="K3" s="5" t="s">
        <v>2</v>
      </c>
    </row>
    <row r="4" spans="1:11" x14ac:dyDescent="0.25">
      <c r="A4" s="7" t="s">
        <v>12</v>
      </c>
      <c r="B4" s="8">
        <v>17.989999999999998</v>
      </c>
      <c r="C4" s="7" t="s">
        <v>28</v>
      </c>
      <c r="D4" s="7" t="s">
        <v>29</v>
      </c>
      <c r="E4" s="9">
        <v>0.7</v>
      </c>
      <c r="F4" s="8">
        <f>B4*E4</f>
        <v>12.592999999999998</v>
      </c>
      <c r="G4" s="9">
        <v>10</v>
      </c>
      <c r="H4" s="9">
        <v>10</v>
      </c>
      <c r="I4" s="9">
        <v>0.7</v>
      </c>
      <c r="J4" s="9">
        <f>H4-I4</f>
        <v>9.3000000000000007</v>
      </c>
      <c r="K4" s="10" t="s">
        <v>37</v>
      </c>
    </row>
    <row r="5" spans="1:11" x14ac:dyDescent="0.25">
      <c r="A5" s="7" t="s">
        <v>25</v>
      </c>
      <c r="B5" s="8">
        <v>8.9499999999999993</v>
      </c>
      <c r="C5" s="7" t="s">
        <v>27</v>
      </c>
      <c r="D5" s="7" t="s">
        <v>16</v>
      </c>
      <c r="E5" s="9">
        <v>1</v>
      </c>
      <c r="F5" s="8">
        <f t="shared" ref="F5:F30" si="0">B5*E5</f>
        <v>8.9499999999999993</v>
      </c>
      <c r="G5" s="9">
        <v>1</v>
      </c>
      <c r="H5" s="9">
        <v>1</v>
      </c>
      <c r="I5" s="9">
        <v>0.01</v>
      </c>
      <c r="J5" s="9">
        <f t="shared" ref="J5:J30" si="1">H5-I5</f>
        <v>0.99</v>
      </c>
      <c r="K5" s="10" t="s">
        <v>14</v>
      </c>
    </row>
    <row r="6" spans="1:11" x14ac:dyDescent="0.25">
      <c r="A6" s="7" t="s">
        <v>30</v>
      </c>
      <c r="B6" s="8">
        <v>25</v>
      </c>
      <c r="C6" s="7" t="s">
        <v>43</v>
      </c>
      <c r="D6" s="7"/>
      <c r="E6" s="9">
        <v>1</v>
      </c>
      <c r="F6" s="8">
        <f t="shared" si="0"/>
        <v>25</v>
      </c>
      <c r="G6" s="9">
        <v>10</v>
      </c>
      <c r="H6" s="9">
        <v>10</v>
      </c>
      <c r="I6" s="9">
        <v>1</v>
      </c>
      <c r="J6" s="9">
        <f t="shared" si="1"/>
        <v>9</v>
      </c>
      <c r="K6" s="10" t="s">
        <v>33</v>
      </c>
    </row>
    <row r="7" spans="1:11" x14ac:dyDescent="0.25">
      <c r="A7" s="7" t="s">
        <v>31</v>
      </c>
      <c r="B7" s="8">
        <v>13.27</v>
      </c>
      <c r="C7" s="7" t="s">
        <v>42</v>
      </c>
      <c r="D7" s="7"/>
      <c r="E7" s="9">
        <v>1</v>
      </c>
      <c r="F7" s="8">
        <f t="shared" si="0"/>
        <v>13.27</v>
      </c>
      <c r="G7" s="9">
        <v>8</v>
      </c>
      <c r="H7" s="9">
        <v>8</v>
      </c>
      <c r="I7" s="9">
        <v>1</v>
      </c>
      <c r="J7" s="9">
        <f t="shared" si="1"/>
        <v>7</v>
      </c>
      <c r="K7" s="10" t="s">
        <v>32</v>
      </c>
    </row>
    <row r="8" spans="1:11" x14ac:dyDescent="0.25">
      <c r="A8" s="7" t="s">
        <v>34</v>
      </c>
      <c r="B8" s="8">
        <v>5.63</v>
      </c>
      <c r="C8" s="7" t="s">
        <v>27</v>
      </c>
      <c r="D8" s="7" t="s">
        <v>56</v>
      </c>
      <c r="E8" s="9">
        <v>0.33</v>
      </c>
      <c r="F8" s="8">
        <f t="shared" si="0"/>
        <v>1.8579000000000001</v>
      </c>
      <c r="G8" s="9">
        <v>1</v>
      </c>
      <c r="H8" s="9">
        <v>1</v>
      </c>
      <c r="I8" s="9">
        <v>0.33</v>
      </c>
      <c r="J8" s="9">
        <f t="shared" si="1"/>
        <v>0.66999999999999993</v>
      </c>
      <c r="K8" s="10" t="s">
        <v>35</v>
      </c>
    </row>
    <row r="9" spans="1:11" x14ac:dyDescent="0.25">
      <c r="A9" s="7" t="s">
        <v>36</v>
      </c>
      <c r="B9" s="8">
        <v>60</v>
      </c>
      <c r="C9" s="7" t="s">
        <v>41</v>
      </c>
      <c r="D9" s="7"/>
      <c r="E9" s="9">
        <v>4</v>
      </c>
      <c r="F9" s="8">
        <f t="shared" si="0"/>
        <v>240</v>
      </c>
      <c r="G9" s="9">
        <v>32</v>
      </c>
      <c r="H9" s="9">
        <v>32</v>
      </c>
      <c r="I9" s="9">
        <v>4</v>
      </c>
      <c r="J9" s="9">
        <f t="shared" si="1"/>
        <v>28</v>
      </c>
      <c r="K9" s="10" t="s">
        <v>38</v>
      </c>
    </row>
    <row r="10" spans="1:11" x14ac:dyDescent="0.25">
      <c r="A10" s="7" t="s">
        <v>39</v>
      </c>
      <c r="B10" s="8">
        <v>10.9</v>
      </c>
      <c r="C10" s="7" t="s">
        <v>27</v>
      </c>
      <c r="D10" s="7"/>
      <c r="E10" s="9">
        <v>1</v>
      </c>
      <c r="F10" s="8">
        <f t="shared" si="0"/>
        <v>10.9</v>
      </c>
      <c r="G10" s="9">
        <v>8</v>
      </c>
      <c r="H10" s="9">
        <v>8</v>
      </c>
      <c r="I10" s="9">
        <v>1</v>
      </c>
      <c r="J10" s="9">
        <f t="shared" si="1"/>
        <v>7</v>
      </c>
      <c r="K10" s="10" t="s">
        <v>40</v>
      </c>
    </row>
    <row r="11" spans="1:11" x14ac:dyDescent="0.25">
      <c r="A11" s="7" t="s">
        <v>47</v>
      </c>
      <c r="B11" s="8">
        <v>0.16</v>
      </c>
      <c r="C11" s="7" t="s">
        <v>54</v>
      </c>
      <c r="D11" s="7"/>
      <c r="E11" s="9">
        <v>16</v>
      </c>
      <c r="F11" s="8">
        <f t="shared" si="0"/>
        <v>2.56</v>
      </c>
      <c r="G11" s="9">
        <v>500</v>
      </c>
      <c r="H11" s="9">
        <v>500</v>
      </c>
      <c r="I11" s="9">
        <v>1</v>
      </c>
      <c r="J11" s="9">
        <f t="shared" si="1"/>
        <v>499</v>
      </c>
      <c r="K11" s="10" t="s">
        <v>51</v>
      </c>
    </row>
    <row r="12" spans="1:11" x14ac:dyDescent="0.25">
      <c r="A12" s="7" t="s">
        <v>44</v>
      </c>
      <c r="B12" s="8">
        <v>0.08</v>
      </c>
      <c r="C12" s="7" t="s">
        <v>54</v>
      </c>
      <c r="D12" s="7"/>
      <c r="E12" s="9">
        <v>18</v>
      </c>
      <c r="F12" s="8">
        <f t="shared" si="0"/>
        <v>1.44</v>
      </c>
      <c r="G12" s="9">
        <v>500</v>
      </c>
      <c r="H12" s="9">
        <v>500</v>
      </c>
      <c r="I12" s="9">
        <v>1</v>
      </c>
      <c r="J12" s="9">
        <f t="shared" si="1"/>
        <v>499</v>
      </c>
      <c r="K12" s="10" t="s">
        <v>50</v>
      </c>
    </row>
    <row r="13" spans="1:11" x14ac:dyDescent="0.25">
      <c r="A13" s="7" t="s">
        <v>45</v>
      </c>
      <c r="B13" s="8">
        <v>7.0000000000000007E-2</v>
      </c>
      <c r="C13" s="7" t="s">
        <v>54</v>
      </c>
      <c r="D13" s="7"/>
      <c r="E13" s="9">
        <v>5</v>
      </c>
      <c r="F13" s="8">
        <f t="shared" si="0"/>
        <v>0.35000000000000003</v>
      </c>
      <c r="G13" s="9">
        <v>500</v>
      </c>
      <c r="H13" s="9">
        <v>500</v>
      </c>
      <c r="I13" s="9">
        <v>1</v>
      </c>
      <c r="J13" s="9">
        <f t="shared" si="1"/>
        <v>499</v>
      </c>
      <c r="K13" s="10" t="s">
        <v>49</v>
      </c>
    </row>
    <row r="14" spans="1:11" x14ac:dyDescent="0.25">
      <c r="A14" s="7" t="s">
        <v>46</v>
      </c>
      <c r="B14" s="8">
        <v>0.13</v>
      </c>
      <c r="C14" s="7" t="s">
        <v>54</v>
      </c>
      <c r="D14" s="7"/>
      <c r="E14" s="9">
        <v>15</v>
      </c>
      <c r="F14" s="8">
        <f t="shared" si="0"/>
        <v>1.9500000000000002</v>
      </c>
      <c r="G14" s="9">
        <v>400</v>
      </c>
      <c r="H14" s="9">
        <v>400</v>
      </c>
      <c r="I14" s="9">
        <v>1</v>
      </c>
      <c r="J14" s="9">
        <f t="shared" si="1"/>
        <v>399</v>
      </c>
      <c r="K14" s="10" t="s">
        <v>48</v>
      </c>
    </row>
    <row r="15" spans="1:11" x14ac:dyDescent="0.25">
      <c r="A15" s="7" t="s">
        <v>52</v>
      </c>
      <c r="B15" s="8">
        <v>4.01</v>
      </c>
      <c r="C15" s="7" t="s">
        <v>55</v>
      </c>
      <c r="D15" s="7"/>
      <c r="E15" s="9">
        <v>4</v>
      </c>
      <c r="F15" s="8">
        <f t="shared" si="0"/>
        <v>16.04</v>
      </c>
      <c r="G15" s="9">
        <v>32</v>
      </c>
      <c r="H15" s="9">
        <v>32</v>
      </c>
      <c r="I15" s="9">
        <v>1</v>
      </c>
      <c r="J15" s="9">
        <f t="shared" si="1"/>
        <v>31</v>
      </c>
      <c r="K15" s="10" t="s">
        <v>53</v>
      </c>
    </row>
    <row r="16" spans="1:11" x14ac:dyDescent="0.25">
      <c r="A16" s="7"/>
      <c r="B16" s="8"/>
      <c r="C16" s="7"/>
      <c r="D16" s="7"/>
      <c r="E16" s="9"/>
      <c r="F16" s="8">
        <f t="shared" si="0"/>
        <v>0</v>
      </c>
      <c r="G16" s="9"/>
      <c r="H16" s="9"/>
      <c r="I16" s="9"/>
      <c r="J16" s="9">
        <f t="shared" si="1"/>
        <v>0</v>
      </c>
      <c r="K16" s="10"/>
    </row>
    <row r="17" spans="1:11" x14ac:dyDescent="0.25">
      <c r="A17" s="7"/>
      <c r="B17" s="8"/>
      <c r="C17" s="7"/>
      <c r="D17" s="7"/>
      <c r="E17" s="9"/>
      <c r="F17" s="8">
        <f t="shared" si="0"/>
        <v>0</v>
      </c>
      <c r="G17" s="9"/>
      <c r="H17" s="9"/>
      <c r="I17" s="9"/>
      <c r="J17" s="9">
        <f t="shared" si="1"/>
        <v>0</v>
      </c>
      <c r="K17" s="10"/>
    </row>
    <row r="18" spans="1:11" x14ac:dyDescent="0.25">
      <c r="A18" s="7"/>
      <c r="B18" s="8"/>
      <c r="C18" s="7"/>
      <c r="D18" s="7"/>
      <c r="E18" s="9"/>
      <c r="F18" s="8">
        <f t="shared" si="0"/>
        <v>0</v>
      </c>
      <c r="G18" s="9"/>
      <c r="H18" s="9"/>
      <c r="I18" s="9"/>
      <c r="J18" s="9">
        <f t="shared" si="1"/>
        <v>0</v>
      </c>
      <c r="K18" s="10"/>
    </row>
    <row r="19" spans="1:11" x14ac:dyDescent="0.25">
      <c r="A19" s="7"/>
      <c r="B19" s="8"/>
      <c r="C19" s="7"/>
      <c r="D19" s="7"/>
      <c r="E19" s="9"/>
      <c r="F19" s="8">
        <f t="shared" si="0"/>
        <v>0</v>
      </c>
      <c r="G19" s="9"/>
      <c r="H19" s="9"/>
      <c r="I19" s="9"/>
      <c r="J19" s="9">
        <f t="shared" si="1"/>
        <v>0</v>
      </c>
      <c r="K19" s="7"/>
    </row>
    <row r="20" spans="1:11" x14ac:dyDescent="0.25">
      <c r="A20" s="7"/>
      <c r="B20" s="8"/>
      <c r="C20" s="7"/>
      <c r="D20" s="7"/>
      <c r="E20" s="9"/>
      <c r="F20" s="8">
        <f t="shared" si="0"/>
        <v>0</v>
      </c>
      <c r="G20" s="9"/>
      <c r="H20" s="9"/>
      <c r="I20" s="9"/>
      <c r="J20" s="9">
        <f t="shared" si="1"/>
        <v>0</v>
      </c>
      <c r="K20" s="7"/>
    </row>
    <row r="21" spans="1:11" x14ac:dyDescent="0.25">
      <c r="A21" s="7"/>
      <c r="B21" s="8"/>
      <c r="C21" s="7"/>
      <c r="D21" s="7"/>
      <c r="E21" s="9"/>
      <c r="F21" s="8">
        <f t="shared" si="0"/>
        <v>0</v>
      </c>
      <c r="G21" s="9"/>
      <c r="H21" s="9"/>
      <c r="I21" s="9"/>
      <c r="J21" s="9">
        <f t="shared" si="1"/>
        <v>0</v>
      </c>
      <c r="K21" s="7"/>
    </row>
    <row r="22" spans="1:11" x14ac:dyDescent="0.25">
      <c r="A22" s="7"/>
      <c r="B22" s="8"/>
      <c r="C22" s="7"/>
      <c r="D22" s="7"/>
      <c r="E22" s="9"/>
      <c r="F22" s="8">
        <f t="shared" si="0"/>
        <v>0</v>
      </c>
      <c r="G22" s="9"/>
      <c r="H22" s="9"/>
      <c r="I22" s="9"/>
      <c r="J22" s="9">
        <f t="shared" si="1"/>
        <v>0</v>
      </c>
      <c r="K22" s="7"/>
    </row>
    <row r="23" spans="1:11" x14ac:dyDescent="0.25">
      <c r="A23" s="7"/>
      <c r="B23" s="8"/>
      <c r="C23" s="7"/>
      <c r="D23" s="7"/>
      <c r="E23" s="9"/>
      <c r="F23" s="8">
        <f t="shared" si="0"/>
        <v>0</v>
      </c>
      <c r="G23" s="9"/>
      <c r="H23" s="9"/>
      <c r="I23" s="9"/>
      <c r="J23" s="9">
        <f t="shared" si="1"/>
        <v>0</v>
      </c>
      <c r="K23" s="7"/>
    </row>
    <row r="24" spans="1:11" x14ac:dyDescent="0.25">
      <c r="A24" s="7"/>
      <c r="B24" s="8"/>
      <c r="C24" s="7"/>
      <c r="D24" s="7"/>
      <c r="E24" s="9"/>
      <c r="F24" s="8">
        <f t="shared" si="0"/>
        <v>0</v>
      </c>
      <c r="G24" s="9"/>
      <c r="H24" s="9"/>
      <c r="I24" s="9"/>
      <c r="J24" s="9">
        <f t="shared" si="1"/>
        <v>0</v>
      </c>
      <c r="K24" s="7"/>
    </row>
    <row r="25" spans="1:11" x14ac:dyDescent="0.25">
      <c r="A25" s="7"/>
      <c r="B25" s="8"/>
      <c r="C25" s="7"/>
      <c r="D25" s="7"/>
      <c r="E25" s="9"/>
      <c r="F25" s="8">
        <f t="shared" si="0"/>
        <v>0</v>
      </c>
      <c r="G25" s="9"/>
      <c r="H25" s="9"/>
      <c r="I25" s="9"/>
      <c r="J25" s="9">
        <f t="shared" si="1"/>
        <v>0</v>
      </c>
      <c r="K25" s="7"/>
    </row>
    <row r="26" spans="1:11" x14ac:dyDescent="0.25">
      <c r="A26" s="7"/>
      <c r="B26" s="8"/>
      <c r="C26" s="7"/>
      <c r="D26" s="7"/>
      <c r="E26" s="9"/>
      <c r="F26" s="8">
        <f t="shared" si="0"/>
        <v>0</v>
      </c>
      <c r="G26" s="9"/>
      <c r="H26" s="9"/>
      <c r="I26" s="9"/>
      <c r="J26" s="9">
        <f t="shared" si="1"/>
        <v>0</v>
      </c>
      <c r="K26" s="7"/>
    </row>
    <row r="27" spans="1:11" x14ac:dyDescent="0.25">
      <c r="A27" s="7"/>
      <c r="B27" s="8"/>
      <c r="C27" s="7"/>
      <c r="D27" s="7"/>
      <c r="E27" s="9"/>
      <c r="F27" s="8">
        <f t="shared" si="0"/>
        <v>0</v>
      </c>
      <c r="G27" s="9"/>
      <c r="H27" s="9"/>
      <c r="I27" s="9"/>
      <c r="J27" s="9">
        <f t="shared" si="1"/>
        <v>0</v>
      </c>
      <c r="K27" s="7"/>
    </row>
    <row r="28" spans="1:11" x14ac:dyDescent="0.25">
      <c r="A28" s="7"/>
      <c r="B28" s="8"/>
      <c r="C28" s="7"/>
      <c r="D28" s="7"/>
      <c r="E28" s="9"/>
      <c r="F28" s="8">
        <f t="shared" si="0"/>
        <v>0</v>
      </c>
      <c r="G28" s="9"/>
      <c r="H28" s="9"/>
      <c r="I28" s="9"/>
      <c r="J28" s="9">
        <f t="shared" si="1"/>
        <v>0</v>
      </c>
      <c r="K28" s="7"/>
    </row>
    <row r="29" spans="1:11" x14ac:dyDescent="0.25">
      <c r="A29" s="7"/>
      <c r="B29" s="8"/>
      <c r="C29" s="7"/>
      <c r="D29" s="7"/>
      <c r="E29" s="9"/>
      <c r="F29" s="8">
        <f t="shared" si="0"/>
        <v>0</v>
      </c>
      <c r="G29" s="9"/>
      <c r="H29" s="9"/>
      <c r="I29" s="9"/>
      <c r="J29" s="9">
        <f t="shared" si="1"/>
        <v>0</v>
      </c>
      <c r="K29" s="7"/>
    </row>
    <row r="30" spans="1:11" x14ac:dyDescent="0.25">
      <c r="A30" s="7"/>
      <c r="B30" s="8"/>
      <c r="C30" s="7"/>
      <c r="D30" s="7"/>
      <c r="E30" s="9"/>
      <c r="F30" s="8">
        <f t="shared" si="0"/>
        <v>0</v>
      </c>
      <c r="G30" s="9"/>
      <c r="H30" s="9"/>
      <c r="I30" s="9"/>
      <c r="J30" s="9">
        <f t="shared" si="1"/>
        <v>0</v>
      </c>
      <c r="K30" s="7"/>
    </row>
    <row r="31" spans="1:11" x14ac:dyDescent="0.25">
      <c r="A31" s="18" t="s">
        <v>10</v>
      </c>
      <c r="B31" s="18"/>
      <c r="C31" s="18"/>
      <c r="D31" s="11"/>
      <c r="E31" s="12">
        <f>SUM($F$4:$F30)</f>
        <v>334.91090000000003</v>
      </c>
      <c r="F31" s="13"/>
      <c r="G31" s="13"/>
      <c r="H31" s="13"/>
      <c r="I31" s="13"/>
      <c r="J31" s="14"/>
      <c r="K31" s="13"/>
    </row>
    <row r="32" spans="1:11" x14ac:dyDescent="0.25">
      <c r="A32" s="18" t="s">
        <v>11</v>
      </c>
      <c r="B32" s="18"/>
      <c r="C32" s="18"/>
      <c r="D32" s="11"/>
      <c r="E32" s="12" cm="1">
        <f t="array" ref="E32">SUM($B$4:$B30*$G$4:$G30)</f>
        <v>2893.16</v>
      </c>
      <c r="F32" s="13"/>
      <c r="G32" s="13"/>
      <c r="H32" s="13"/>
      <c r="I32" s="13"/>
      <c r="J32" s="14"/>
      <c r="K32" s="13"/>
    </row>
  </sheetData>
  <mergeCells count="3">
    <mergeCell ref="A1:H1"/>
    <mergeCell ref="A31:C31"/>
    <mergeCell ref="A32:C32"/>
  </mergeCells>
  <hyperlinks>
    <hyperlink ref="K5" r:id="rId1" display="https://www.amazon.co.uk/emma-kites-62Meters-Activities-Tactical/dp/B08PBXD5CH/ref=sr_1_5_sspa?dib=eyJ2IjoiMSJ9.0-yXPrRVx6VvZD1y_yhfI6KjH4eIc1OdBF6EEXLAH9h0wXzdwHEIakmBiFKCzjOdeaYn32P9y1uMh_W0O9xvLglJ2EXk6uFTaoJ5Zhf0KMIEFBSppVMRoprrJogBNcQwWUjl-lhBiwT3PHjTSlltl-Mh7yFeqDEZNXvmr5mRNFC8q0Se9HcflkI5FSalPoepyqVZ-9URrzDM3UIdwRNn1SWKQxI3uuWbx4KxcSWxq_17H9ZM1Jd_c4ucDd9HuDaTQjlbHx9jS4PlUXmrP2OHy8I5bHVK1Tkr2OqpEx5jlWs.hjlXtDfyhx78JWmWd6amgpU2a7WxvKp6-kz3Kh7gQzU&amp;dib_tag=se&amp;keywords=kevlar%2Bcord&amp;qid=1754900594&amp;sr=8-5-spons&amp;sp_csd=d2lkZ2V0TmFtZT1zcF9hdGY&amp;th=1&amp;psc=1" xr:uid="{3306E8CF-F802-4C5B-A726-3EEAEE2D802C}"/>
    <hyperlink ref="K13" r:id="rId2" xr:uid="{ECD3E60C-13C5-44E4-B640-306C252A53CE}"/>
    <hyperlink ref="K14" r:id="rId3" xr:uid="{3B756A73-400E-499D-B22A-B7FB88C305C6}"/>
    <hyperlink ref="K15" r:id="rId4" xr:uid="{553D5C8A-E29E-4D0C-B3ED-1582EC8DAC15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Tooling</vt:lpstr>
      <vt:lpstr>Report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Japes (student)</dc:creator>
  <cp:lastModifiedBy>Rudy de Lange</cp:lastModifiedBy>
  <dcterms:created xsi:type="dcterms:W3CDTF">2025-08-25T14:54:05Z</dcterms:created>
  <dcterms:modified xsi:type="dcterms:W3CDTF">2026-02-03T15:10:34Z</dcterms:modified>
</cp:coreProperties>
</file>